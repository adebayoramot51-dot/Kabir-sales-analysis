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NER\Desktop\"/>
    </mc:Choice>
  </mc:AlternateContent>
  <xr:revisionPtr revIDLastSave="0" documentId="8_{769F860B-C58B-458D-9F30-0B074A856945}" xr6:coauthVersionLast="47" xr6:coauthVersionMax="47" xr10:uidLastSave="{00000000-0000-0000-0000-000000000000}"/>
  <bookViews>
    <workbookView xWindow="-120" yWindow="-120" windowWidth="20730" windowHeight="11160" xr2:uid="{7EC5611E-41BD-4A45-9A55-185AC654D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J21" i="1"/>
  <c r="I21" i="1"/>
  <c r="C21" i="1"/>
  <c r="Z20" i="1"/>
  <c r="O20" i="1"/>
  <c r="N20" i="1"/>
  <c r="J20" i="1"/>
  <c r="I20" i="1"/>
  <c r="C20" i="1"/>
  <c r="Z19" i="1"/>
  <c r="O19" i="1"/>
  <c r="N19" i="1"/>
  <c r="J19" i="1"/>
  <c r="I19" i="1"/>
  <c r="C19" i="1"/>
  <c r="Z18" i="1"/>
  <c r="O18" i="1"/>
  <c r="N18" i="1"/>
  <c r="J18" i="1"/>
  <c r="I18" i="1"/>
  <c r="C18" i="1"/>
  <c r="Z17" i="1"/>
  <c r="O17" i="1"/>
  <c r="N17" i="1"/>
  <c r="J17" i="1"/>
  <c r="I17" i="1"/>
  <c r="C17" i="1"/>
  <c r="Z16" i="1"/>
  <c r="O16" i="1"/>
  <c r="N16" i="1"/>
  <c r="J16" i="1"/>
  <c r="I16" i="1"/>
  <c r="C16" i="1"/>
  <c r="C15" i="1"/>
  <c r="C14" i="1"/>
  <c r="C13" i="1"/>
  <c r="J5" i="1" s="1"/>
  <c r="C12" i="1"/>
  <c r="C11" i="1"/>
  <c r="C10" i="1"/>
  <c r="I9" i="1"/>
  <c r="C9" i="1"/>
  <c r="P8" i="1"/>
  <c r="C8" i="1"/>
  <c r="U20" i="1" s="1"/>
  <c r="P7" i="1"/>
  <c r="C7" i="1"/>
  <c r="P6" i="1"/>
  <c r="C6" i="1"/>
  <c r="K7" i="1" s="1"/>
  <c r="P5" i="1"/>
  <c r="I5" i="1"/>
  <c r="C5" i="1"/>
  <c r="U17" i="1" s="1"/>
  <c r="P4" i="1"/>
  <c r="C4" i="1"/>
  <c r="J9" i="1" s="1"/>
  <c r="C3" i="1"/>
  <c r="S18" i="1" s="1"/>
  <c r="T17" i="1" l="1"/>
  <c r="U19" i="1"/>
  <c r="K5" i="1"/>
  <c r="J6" i="1"/>
  <c r="I7" i="1"/>
  <c r="Z7" i="1"/>
  <c r="J8" i="1"/>
  <c r="AH8" i="1"/>
  <c r="K9" i="1"/>
  <c r="K6" i="1"/>
  <c r="J7" i="1"/>
  <c r="AH7" i="1"/>
  <c r="K8" i="1"/>
  <c r="Z9" i="1"/>
  <c r="AH15" i="1"/>
  <c r="T18" i="1"/>
  <c r="S19" i="1"/>
  <c r="S21" i="1"/>
  <c r="AH9" i="1"/>
  <c r="S17" i="1"/>
  <c r="AH17" i="1"/>
  <c r="U18" i="1"/>
  <c r="T19" i="1"/>
  <c r="S20" i="1"/>
  <c r="T21" i="1"/>
  <c r="I6" i="1"/>
  <c r="Z8" i="1"/>
  <c r="T20" i="1"/>
  <c r="U21" i="1"/>
  <c r="I8" i="1"/>
  <c r="AH16" i="1"/>
</calcChain>
</file>

<file path=xl/sharedStrings.xml><?xml version="1.0" encoding="utf-8"?>
<sst xmlns="http://schemas.openxmlformats.org/spreadsheetml/2006/main" count="91" uniqueCount="35">
  <si>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</si>
  <si>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</si>
  <si>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</si>
  <si>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</si>
  <si>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</si>
  <si>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</si>
  <si>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</si>
  <si>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</si>
  <si>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Sum of Sales by Years</t>
  </si>
  <si>
    <t>Condition</t>
  </si>
  <si>
    <t>Quantity</t>
  </si>
  <si>
    <t>Tola</t>
  </si>
  <si>
    <t>COUNTIF</t>
  </si>
  <si>
    <t>Abdul</t>
  </si>
  <si>
    <t>SUMIF</t>
  </si>
  <si>
    <t>Total Quantity sold per year</t>
  </si>
  <si>
    <t>Average Quantity sold per year</t>
  </si>
  <si>
    <t>Ada</t>
  </si>
  <si>
    <t xml:space="preserve">Total Quantity sold </t>
  </si>
  <si>
    <t>AverageIF</t>
  </si>
  <si>
    <t>Average Quantity Sold</t>
  </si>
  <si>
    <t>Ese</t>
  </si>
  <si>
    <t>Yearly Trends</t>
  </si>
  <si>
    <t>FUNCTIONS</t>
  </si>
  <si>
    <t>Financial contribution</t>
  </si>
  <si>
    <t xml:space="preserve">Total Quantity Sold </t>
  </si>
  <si>
    <t>Quantity Sold by Years</t>
  </si>
  <si>
    <t>Sales rep</t>
  </si>
  <si>
    <t>Total Revenue</t>
  </si>
  <si>
    <t>SUM</t>
  </si>
  <si>
    <t>MINIMUM</t>
  </si>
  <si>
    <t>MAXIMUM</t>
  </si>
  <si>
    <t>AVERAGE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</si>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</sst>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14" fontId="0" fillId="0" borderId="0" xfId="0" applyNumberFormat="1"/>
    <xf numFmtId="0" fontId="3" fillId="4" borderId="8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0" borderId="10" xfId="0" applyBorder="1"/>
    <xf numFmtId="0" fontId="0" fillId="0" borderId="11" xfId="0" applyBorder="1"/>
    <xf numFmtId="43" fontId="1" fillId="0" borderId="12" xfId="1" applyFont="1" applyFill="1" applyBorder="1" applyAlignment="1"/>
    <xf numFmtId="0" fontId="0" fillId="0" borderId="13" xfId="0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/>
    <xf numFmtId="0" fontId="0" fillId="5" borderId="15" xfId="0" applyFill="1" applyBorder="1" applyAlignment="1">
      <alignment horizontal="right"/>
    </xf>
    <xf numFmtId="0" fontId="0" fillId="5" borderId="16" xfId="0" applyFill="1" applyBorder="1" applyAlignment="1">
      <alignment horizontal="right"/>
    </xf>
    <xf numFmtId="0" fontId="0" fillId="5" borderId="17" xfId="0" applyFill="1" applyBorder="1" applyAlignment="1">
      <alignment horizontal="right"/>
    </xf>
    <xf numFmtId="0" fontId="0" fillId="0" borderId="19" xfId="0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" fontId="0" fillId="0" borderId="15" xfId="0" applyNumberFormat="1" applyBorder="1"/>
    <xf numFmtId="1" fontId="0" fillId="0" borderId="17" xfId="0" applyNumberFormat="1" applyBorder="1"/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5" borderId="23" xfId="0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9" xfId="0" applyBorder="1"/>
    <xf numFmtId="0" fontId="3" fillId="3" borderId="12" xfId="0" applyFont="1" applyFill="1" applyBorder="1"/>
    <xf numFmtId="0" fontId="3" fillId="3" borderId="1" xfId="0" applyFont="1" applyFill="1" applyBorder="1"/>
    <xf numFmtId="0" fontId="3" fillId="3" borderId="10" xfId="0" applyFont="1" applyFill="1" applyBorder="1"/>
    <xf numFmtId="0" fontId="0" fillId="0" borderId="19" xfId="0" applyBorder="1" applyAlignment="1">
      <alignment horizontal="right"/>
    </xf>
    <xf numFmtId="0" fontId="0" fillId="0" borderId="12" xfId="0" applyBorder="1"/>
    <xf numFmtId="4" fontId="0" fillId="0" borderId="10" xfId="0" applyNumberFormat="1" applyBorder="1"/>
    <xf numFmtId="0" fontId="0" fillId="0" borderId="25" xfId="0" applyBorder="1"/>
    <xf numFmtId="0" fontId="0" fillId="0" borderId="26" xfId="0" applyBorder="1"/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62C7-238C-49E2-9E5B-E709C82B4C7F}">
  <dimension ref="A1:AK26"/>
  <sheetViews>
    <sheetView tabSelected="1" workbookViewId="0">
      <selection activeCell="M1" sqref="M1"/>
    </sheetView>
  </sheetViews>
  <sheetFormatPr defaultRowHeight="15" x14ac:dyDescent="0.25"/>
  <cols>
    <col min="2" max="2" width="10.28515625" bestFit="1" customWidth="1"/>
    <col min="9" max="11" width="10.5703125" bestFit="1" customWidth="1"/>
    <col min="15" max="15" width="10.42578125" customWidth="1"/>
    <col min="25" max="25" width="26.7109375" customWidth="1"/>
    <col min="26" max="26" width="26.140625" bestFit="1" customWidth="1"/>
  </cols>
  <sheetData>
    <row r="1" spans="1:37" ht="25.5" x14ac:dyDescent="0.35">
      <c r="A1" s="1" t="s">
        <v>0</v>
      </c>
      <c r="B1" s="1"/>
      <c r="C1" s="1"/>
      <c r="D1" s="1"/>
      <c r="E1" s="1"/>
      <c r="F1" s="1"/>
    </row>
    <row r="2" spans="1:37" ht="19.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37" ht="15.75" thickBot="1" x14ac:dyDescent="0.3">
      <c r="A3" s="3">
        <v>1</v>
      </c>
      <c r="B3" s="4">
        <v>40221</v>
      </c>
      <c r="C3" s="4" t="str">
        <f t="shared" ref="C3:C26" si="0">TEXT(B3,"YYYY")</f>
        <v>2010</v>
      </c>
      <c r="D3" s="3" t="s">
        <v>7</v>
      </c>
      <c r="E3" s="3">
        <v>76</v>
      </c>
      <c r="F3" s="5">
        <v>16720</v>
      </c>
      <c r="G3" s="6"/>
      <c r="I3" s="7" t="s">
        <v>8</v>
      </c>
      <c r="J3" s="8"/>
      <c r="K3" s="9"/>
      <c r="N3" s="10"/>
      <c r="O3" s="11" t="s">
        <v>9</v>
      </c>
      <c r="P3" s="12" t="s">
        <v>10</v>
      </c>
    </row>
    <row r="4" spans="1:37" x14ac:dyDescent="0.25">
      <c r="A4" s="3">
        <v>2</v>
      </c>
      <c r="B4" s="4">
        <v>40235</v>
      </c>
      <c r="C4" s="4" t="str">
        <f t="shared" si="0"/>
        <v>2010</v>
      </c>
      <c r="D4" s="3" t="s">
        <v>11</v>
      </c>
      <c r="E4" s="3">
        <v>59</v>
      </c>
      <c r="F4" s="5">
        <v>12980</v>
      </c>
      <c r="G4" s="13"/>
      <c r="H4" s="14" t="s">
        <v>4</v>
      </c>
      <c r="I4" s="15">
        <v>2010</v>
      </c>
      <c r="J4" s="16">
        <v>2011</v>
      </c>
      <c r="K4" s="17">
        <v>2012</v>
      </c>
      <c r="N4" s="18" t="s">
        <v>12</v>
      </c>
      <c r="O4" s="19" t="s">
        <v>13</v>
      </c>
      <c r="P4" s="20">
        <f>COUNTIF($D$3:$D$26,$O4)</f>
        <v>6</v>
      </c>
    </row>
    <row r="5" spans="1:37" x14ac:dyDescent="0.25">
      <c r="A5" s="3">
        <v>3</v>
      </c>
      <c r="B5" s="4">
        <v>40249</v>
      </c>
      <c r="C5" s="4" t="str">
        <f t="shared" si="0"/>
        <v>2010</v>
      </c>
      <c r="D5" s="3" t="s">
        <v>13</v>
      </c>
      <c r="E5" s="3">
        <v>56</v>
      </c>
      <c r="F5" s="5">
        <v>12320</v>
      </c>
      <c r="H5" s="21" t="s">
        <v>13</v>
      </c>
      <c r="I5" s="22">
        <f>SUMIFS($F$3:$F$26,$D$3:$D$26,$H5,$C$3:$C$26,I$4)</f>
        <v>12320</v>
      </c>
      <c r="J5" s="22">
        <f t="shared" ref="J5:K5" si="1">SUMIFS($F$3:$F$26,$D$3:$D$26,$H5,$C$3:$C$26,J$4)</f>
        <v>23100</v>
      </c>
      <c r="K5" s="22">
        <f t="shared" si="1"/>
        <v>25520</v>
      </c>
      <c r="N5" s="23"/>
      <c r="O5" s="19" t="s">
        <v>7</v>
      </c>
      <c r="P5" s="20">
        <f t="shared" ref="P5:P8" si="2">COUNTIF($D$3:$D$26,$O5)</f>
        <v>3</v>
      </c>
      <c r="X5" s="24" t="s">
        <v>14</v>
      </c>
      <c r="Y5" s="25" t="s">
        <v>15</v>
      </c>
      <c r="Z5" s="26"/>
      <c r="AA5" s="26"/>
      <c r="AB5" s="27"/>
      <c r="AF5" s="28" t="s">
        <v>16</v>
      </c>
      <c r="AG5" s="29"/>
      <c r="AH5" s="29"/>
      <c r="AI5" s="30"/>
    </row>
    <row r="6" spans="1:37" x14ac:dyDescent="0.25">
      <c r="A6" s="3">
        <v>4</v>
      </c>
      <c r="B6" s="4">
        <v>40249</v>
      </c>
      <c r="C6" s="4" t="str">
        <f t="shared" si="0"/>
        <v>2010</v>
      </c>
      <c r="D6" s="3" t="s">
        <v>17</v>
      </c>
      <c r="E6" s="3">
        <v>48</v>
      </c>
      <c r="F6" s="5">
        <v>10560</v>
      </c>
      <c r="H6" s="21" t="s">
        <v>7</v>
      </c>
      <c r="I6" s="22">
        <f t="shared" ref="I6:K9" si="3">SUMIFS($F$3:$F$26,$D$3:$D$26,$H6,$C$3:$C$26,I$4)</f>
        <v>16720</v>
      </c>
      <c r="J6" s="22">
        <f t="shared" si="3"/>
        <v>6160</v>
      </c>
      <c r="K6" s="22">
        <f t="shared" si="3"/>
        <v>7920</v>
      </c>
      <c r="N6" s="23"/>
      <c r="O6" s="19" t="s">
        <v>17</v>
      </c>
      <c r="P6" s="20">
        <f t="shared" si="2"/>
        <v>5</v>
      </c>
      <c r="X6" s="31"/>
      <c r="Y6" s="32" t="s">
        <v>3</v>
      </c>
      <c r="Z6" s="33" t="s">
        <v>18</v>
      </c>
      <c r="AA6" s="34"/>
      <c r="AB6" s="35"/>
      <c r="AF6" s="24" t="s">
        <v>19</v>
      </c>
      <c r="AG6" s="32" t="s">
        <v>3</v>
      </c>
      <c r="AH6" s="32" t="s">
        <v>20</v>
      </c>
      <c r="AI6" s="32"/>
    </row>
    <row r="7" spans="1:37" x14ac:dyDescent="0.25">
      <c r="A7" s="3">
        <v>5</v>
      </c>
      <c r="B7" s="4">
        <v>40418</v>
      </c>
      <c r="C7" s="4" t="str">
        <f t="shared" si="0"/>
        <v>2010</v>
      </c>
      <c r="D7" s="3" t="s">
        <v>11</v>
      </c>
      <c r="E7" s="3">
        <v>40</v>
      </c>
      <c r="F7" s="5">
        <v>8800</v>
      </c>
      <c r="H7" s="21" t="s">
        <v>17</v>
      </c>
      <c r="I7" s="22">
        <f t="shared" si="3"/>
        <v>26840</v>
      </c>
      <c r="J7" s="22">
        <f t="shared" si="3"/>
        <v>0</v>
      </c>
      <c r="K7" s="22">
        <f t="shared" si="3"/>
        <v>15840</v>
      </c>
      <c r="N7" s="23"/>
      <c r="O7" s="19" t="s">
        <v>21</v>
      </c>
      <c r="P7" s="20">
        <f t="shared" si="2"/>
        <v>3</v>
      </c>
      <c r="X7" s="31"/>
      <c r="Y7" s="36">
        <v>2010</v>
      </c>
      <c r="Z7" s="37">
        <f>SUMIF($C$3:$C$26,$Y7,$E$3:$E$26)</f>
        <v>476</v>
      </c>
      <c r="AA7" s="38"/>
      <c r="AB7" s="39"/>
      <c r="AF7" s="31"/>
      <c r="AG7" s="36">
        <v>2010</v>
      </c>
      <c r="AH7" s="40">
        <f>AVERAGEIF($C$3:$C$26,$AG7,$E$3:$E$26)</f>
        <v>52.888888888888886</v>
      </c>
      <c r="AI7" s="41"/>
    </row>
    <row r="8" spans="1:37" ht="15.75" thickBot="1" x14ac:dyDescent="0.3">
      <c r="A8" s="3">
        <v>6</v>
      </c>
      <c r="B8" s="4">
        <v>40418</v>
      </c>
      <c r="C8" s="4" t="str">
        <f t="shared" si="0"/>
        <v>2010</v>
      </c>
      <c r="D8" s="3" t="s">
        <v>21</v>
      </c>
      <c r="E8" s="3">
        <v>90</v>
      </c>
      <c r="F8" s="5">
        <v>19800</v>
      </c>
      <c r="H8" s="21" t="s">
        <v>21</v>
      </c>
      <c r="I8" s="22">
        <f t="shared" si="3"/>
        <v>19800</v>
      </c>
      <c r="J8" s="22">
        <f t="shared" si="3"/>
        <v>20900</v>
      </c>
      <c r="K8" s="22">
        <f t="shared" si="3"/>
        <v>11440</v>
      </c>
      <c r="N8" s="42"/>
      <c r="O8" s="43" t="s">
        <v>11</v>
      </c>
      <c r="P8" s="20">
        <f t="shared" si="2"/>
        <v>7</v>
      </c>
      <c r="X8" s="31"/>
      <c r="Y8" s="36">
        <v>2011</v>
      </c>
      <c r="Z8" s="37">
        <f t="shared" ref="Z8:Z9" si="4">SUMIF($C$3:$C$26,$Y8,$E$3:$E$26)</f>
        <v>380</v>
      </c>
      <c r="AA8" s="38"/>
      <c r="AB8" s="39"/>
      <c r="AF8" s="31"/>
      <c r="AG8" s="36">
        <v>2011</v>
      </c>
      <c r="AH8" s="40">
        <f t="shared" ref="AH8:AH9" si="5">AVERAGEIF($C$3:$C$26,$AG8,$E$3:$E$26)</f>
        <v>63.333333333333336</v>
      </c>
      <c r="AI8" s="41"/>
    </row>
    <row r="9" spans="1:37" ht="15.75" thickBot="1" x14ac:dyDescent="0.3">
      <c r="A9" s="3">
        <v>7</v>
      </c>
      <c r="B9" s="4">
        <v>40464</v>
      </c>
      <c r="C9" s="4" t="str">
        <f t="shared" si="0"/>
        <v>2010</v>
      </c>
      <c r="D9" s="3" t="s">
        <v>17</v>
      </c>
      <c r="E9" s="3">
        <v>24</v>
      </c>
      <c r="F9" s="5">
        <v>5280</v>
      </c>
      <c r="H9" s="44" t="s">
        <v>11</v>
      </c>
      <c r="I9" s="22">
        <f t="shared" si="3"/>
        <v>29040</v>
      </c>
      <c r="J9" s="22">
        <f t="shared" si="3"/>
        <v>33440</v>
      </c>
      <c r="K9" s="22">
        <f t="shared" si="3"/>
        <v>20240</v>
      </c>
      <c r="X9" s="45"/>
      <c r="Y9" s="36">
        <v>2012</v>
      </c>
      <c r="Z9" s="37">
        <f t="shared" si="4"/>
        <v>368</v>
      </c>
      <c r="AA9" s="38"/>
      <c r="AB9" s="39"/>
      <c r="AF9" s="45"/>
      <c r="AG9" s="36">
        <v>2012</v>
      </c>
      <c r="AH9" s="40">
        <f t="shared" si="5"/>
        <v>40.888888888888886</v>
      </c>
      <c r="AI9" s="41"/>
    </row>
    <row r="10" spans="1:37" x14ac:dyDescent="0.25">
      <c r="A10" s="3">
        <v>8</v>
      </c>
      <c r="B10" s="4">
        <v>40505</v>
      </c>
      <c r="C10" s="4" t="str">
        <f t="shared" si="0"/>
        <v>2010</v>
      </c>
      <c r="D10" s="3" t="s">
        <v>17</v>
      </c>
      <c r="E10" s="3">
        <v>50</v>
      </c>
      <c r="F10" s="5">
        <v>11000</v>
      </c>
    </row>
    <row r="11" spans="1:37" x14ac:dyDescent="0.25">
      <c r="A11" s="3">
        <v>9</v>
      </c>
      <c r="B11" s="4">
        <v>40505</v>
      </c>
      <c r="C11" s="4" t="str">
        <f t="shared" si="0"/>
        <v>2010</v>
      </c>
      <c r="D11" s="3" t="s">
        <v>11</v>
      </c>
      <c r="E11" s="3">
        <v>33</v>
      </c>
      <c r="F11" s="5">
        <v>7260</v>
      </c>
    </row>
    <row r="12" spans="1:37" x14ac:dyDescent="0.25">
      <c r="A12" s="3">
        <v>10</v>
      </c>
      <c r="B12" s="4">
        <v>40611</v>
      </c>
      <c r="C12" s="4" t="str">
        <f t="shared" si="0"/>
        <v>2011</v>
      </c>
      <c r="D12" s="3" t="s">
        <v>21</v>
      </c>
      <c r="E12" s="3">
        <v>95</v>
      </c>
      <c r="F12" s="5">
        <v>20900</v>
      </c>
    </row>
    <row r="13" spans="1:37" ht="15.75" thickBot="1" x14ac:dyDescent="0.3">
      <c r="A13" s="3">
        <v>11</v>
      </c>
      <c r="B13" s="4">
        <v>40626</v>
      </c>
      <c r="C13" s="4" t="str">
        <f t="shared" si="0"/>
        <v>2011</v>
      </c>
      <c r="D13" s="3" t="s">
        <v>13</v>
      </c>
      <c r="E13" s="3">
        <v>57</v>
      </c>
      <c r="F13" s="5">
        <v>12540</v>
      </c>
      <c r="AG13" s="46" t="s">
        <v>22</v>
      </c>
      <c r="AH13" s="47"/>
      <c r="AI13" s="47"/>
      <c r="AJ13" s="47"/>
      <c r="AK13" s="47"/>
    </row>
    <row r="14" spans="1:37" ht="15.75" thickBot="1" x14ac:dyDescent="0.3">
      <c r="A14" s="3">
        <v>12</v>
      </c>
      <c r="B14" s="4">
        <v>40693</v>
      </c>
      <c r="C14" s="4" t="str">
        <f t="shared" si="0"/>
        <v>2011</v>
      </c>
      <c r="D14" s="3" t="s">
        <v>13</v>
      </c>
      <c r="E14" s="3">
        <v>48</v>
      </c>
      <c r="F14" s="5">
        <v>10560</v>
      </c>
      <c r="H14" s="48" t="s">
        <v>23</v>
      </c>
      <c r="I14" s="49"/>
      <c r="J14" s="50"/>
      <c r="X14" s="28" t="s">
        <v>24</v>
      </c>
      <c r="Y14" s="29"/>
      <c r="Z14" s="30"/>
      <c r="AG14" s="51" t="s">
        <v>3</v>
      </c>
      <c r="AH14" s="52" t="s">
        <v>25</v>
      </c>
      <c r="AI14" s="52"/>
      <c r="AJ14" s="52"/>
      <c r="AK14" s="52"/>
    </row>
    <row r="15" spans="1:37" ht="15.75" thickBot="1" x14ac:dyDescent="0.3">
      <c r="A15" s="3">
        <v>13</v>
      </c>
      <c r="B15" s="4">
        <v>40711</v>
      </c>
      <c r="C15" s="4" t="str">
        <f t="shared" si="0"/>
        <v>2011</v>
      </c>
      <c r="D15" s="3" t="s">
        <v>11</v>
      </c>
      <c r="E15" s="3">
        <v>88</v>
      </c>
      <c r="F15" s="5">
        <v>19360</v>
      </c>
      <c r="H15" s="53"/>
      <c r="I15" s="54" t="s">
        <v>10</v>
      </c>
      <c r="J15" s="55" t="s">
        <v>6</v>
      </c>
      <c r="L15" s="10"/>
      <c r="M15" s="11" t="s">
        <v>9</v>
      </c>
      <c r="N15" s="11" t="s">
        <v>10</v>
      </c>
      <c r="O15" s="12" t="s">
        <v>6</v>
      </c>
      <c r="S15" s="7" t="s">
        <v>26</v>
      </c>
      <c r="T15" s="8"/>
      <c r="U15" s="9"/>
      <c r="X15" s="24" t="s">
        <v>14</v>
      </c>
      <c r="Y15" s="51" t="s">
        <v>27</v>
      </c>
      <c r="Z15" s="51" t="s">
        <v>28</v>
      </c>
      <c r="AG15" s="36">
        <v>2010</v>
      </c>
      <c r="AH15" s="56">
        <f>SUMIF($C$3:$C$26,$AG15,$E$3:$E$26)</f>
        <v>476</v>
      </c>
      <c r="AI15" s="56"/>
      <c r="AJ15" s="56"/>
      <c r="AK15" s="56"/>
    </row>
    <row r="16" spans="1:37" x14ac:dyDescent="0.25">
      <c r="A16" s="3">
        <v>14</v>
      </c>
      <c r="B16" s="4">
        <v>40711</v>
      </c>
      <c r="C16" s="4" t="str">
        <f t="shared" si="0"/>
        <v>2011</v>
      </c>
      <c r="D16" s="3" t="s">
        <v>7</v>
      </c>
      <c r="E16" s="3">
        <v>28</v>
      </c>
      <c r="F16" s="5">
        <v>6160</v>
      </c>
      <c r="H16" s="57" t="s">
        <v>29</v>
      </c>
      <c r="I16" s="19">
        <f>SUM(E3:E26)</f>
        <v>1224</v>
      </c>
      <c r="J16" s="58">
        <f>SUM(F3:F26)</f>
        <v>269280</v>
      </c>
      <c r="L16" s="18" t="s">
        <v>14</v>
      </c>
      <c r="M16" s="19" t="s">
        <v>13</v>
      </c>
      <c r="N16" s="19">
        <f>SUMIF($D$3:$D$26,$M16,$E$3:$E$26)</f>
        <v>277</v>
      </c>
      <c r="O16" s="19">
        <f>SUMIF($D$3:$D$26,$M16,$F$3:$F$26)</f>
        <v>60940</v>
      </c>
      <c r="R16" s="14" t="s">
        <v>4</v>
      </c>
      <c r="S16" s="15">
        <v>2010</v>
      </c>
      <c r="T16" s="16">
        <v>2011</v>
      </c>
      <c r="U16" s="17">
        <v>2012</v>
      </c>
      <c r="X16" s="31"/>
      <c r="Y16" s="51" t="s">
        <v>13</v>
      </c>
      <c r="Z16" s="51">
        <f>SUMIF($D$3:$D$26,$Y16,$F$3:$F$26)</f>
        <v>60940</v>
      </c>
      <c r="AG16" s="36">
        <v>2011</v>
      </c>
      <c r="AH16" s="56">
        <f t="shared" ref="AH16:AH17" si="6">SUMIF($C$3:$C$26,$AG16,$E$3:$E$26)</f>
        <v>380</v>
      </c>
      <c r="AI16" s="56"/>
      <c r="AJ16" s="56"/>
      <c r="AK16" s="56"/>
    </row>
    <row r="17" spans="1:37" x14ac:dyDescent="0.25">
      <c r="A17" s="3">
        <v>15</v>
      </c>
      <c r="B17" s="4">
        <v>40734</v>
      </c>
      <c r="C17" s="4" t="str">
        <f t="shared" si="0"/>
        <v>2011</v>
      </c>
      <c r="D17" s="3" t="s">
        <v>11</v>
      </c>
      <c r="E17" s="3">
        <v>64</v>
      </c>
      <c r="F17" s="5">
        <v>14080</v>
      </c>
      <c r="H17" s="57" t="s">
        <v>30</v>
      </c>
      <c r="I17" s="19">
        <f>MIN(E3:E26)</f>
        <v>24</v>
      </c>
      <c r="J17" s="58">
        <f>MIN(F3:F26)</f>
        <v>5280</v>
      </c>
      <c r="L17" s="23"/>
      <c r="M17" s="19" t="s">
        <v>7</v>
      </c>
      <c r="N17" s="19">
        <f t="shared" ref="N17:N20" si="7">SUMIF($D$3:$D$26,$M17,$E$3:$E$26)</f>
        <v>140</v>
      </c>
      <c r="O17" s="19">
        <f t="shared" ref="O17:O20" si="8">SUMIF($D$3:$D$26,$M17,$F$3:$F$26)</f>
        <v>30800</v>
      </c>
      <c r="R17" s="21" t="s">
        <v>13</v>
      </c>
      <c r="S17" s="22">
        <f>SUMIFS($E$3:$E$26,$D$3:$D$26,$R17,$C$3:$C$26,S$16)</f>
        <v>56</v>
      </c>
      <c r="T17" s="22">
        <f t="shared" ref="T17:U17" si="9">SUMIFS($E$3:$E$26,$D$3:$D$26,$R17,$C$3:$C$26,T$16)</f>
        <v>105</v>
      </c>
      <c r="U17" s="22">
        <f t="shared" si="9"/>
        <v>116</v>
      </c>
      <c r="X17" s="31"/>
      <c r="Y17" s="51" t="s">
        <v>7</v>
      </c>
      <c r="Z17" s="51">
        <f t="shared" ref="Z17:Z20" si="10">SUMIF($D$3:$D$26,$Y17,$F$3:$F$26)</f>
        <v>30800</v>
      </c>
      <c r="AG17" s="36">
        <v>2012</v>
      </c>
      <c r="AH17" s="56">
        <f t="shared" si="6"/>
        <v>368</v>
      </c>
      <c r="AI17" s="56"/>
      <c r="AJ17" s="56"/>
      <c r="AK17" s="56"/>
    </row>
    <row r="18" spans="1:37" x14ac:dyDescent="0.25">
      <c r="A18" s="3">
        <v>16</v>
      </c>
      <c r="B18" s="4">
        <v>40953</v>
      </c>
      <c r="C18" s="4" t="str">
        <f t="shared" si="0"/>
        <v>2012</v>
      </c>
      <c r="D18" s="3" t="s">
        <v>13</v>
      </c>
      <c r="E18" s="3">
        <v>51</v>
      </c>
      <c r="F18" s="5">
        <v>11220</v>
      </c>
      <c r="H18" s="57" t="s">
        <v>31</v>
      </c>
      <c r="I18" s="19">
        <f>MAX(E3:E26)</f>
        <v>95</v>
      </c>
      <c r="J18" s="58">
        <f xml:space="preserve"> MAX(F3:F26)</f>
        <v>20900</v>
      </c>
      <c r="L18" s="23"/>
      <c r="M18" s="19" t="s">
        <v>17</v>
      </c>
      <c r="N18" s="19">
        <f t="shared" si="7"/>
        <v>194</v>
      </c>
      <c r="O18" s="19">
        <f t="shared" si="8"/>
        <v>42680</v>
      </c>
      <c r="R18" s="21" t="s">
        <v>7</v>
      </c>
      <c r="S18" s="22">
        <f t="shared" ref="S18:U21" si="11">SUMIFS($E$3:$E$26,$D$3:$D$26,$R18,$C$3:$C$26,S$16)</f>
        <v>76</v>
      </c>
      <c r="T18" s="22">
        <f t="shared" si="11"/>
        <v>28</v>
      </c>
      <c r="U18" s="22">
        <f t="shared" si="11"/>
        <v>36</v>
      </c>
      <c r="X18" s="31"/>
      <c r="Y18" s="51" t="s">
        <v>11</v>
      </c>
      <c r="Z18" s="51">
        <f t="shared" si="10"/>
        <v>82720</v>
      </c>
    </row>
    <row r="19" spans="1:37" x14ac:dyDescent="0.25">
      <c r="A19" s="3">
        <v>17</v>
      </c>
      <c r="B19" s="4">
        <v>40953</v>
      </c>
      <c r="C19" s="4" t="str">
        <f t="shared" si="0"/>
        <v>2012</v>
      </c>
      <c r="D19" s="3" t="s">
        <v>17</v>
      </c>
      <c r="E19" s="3">
        <v>25</v>
      </c>
      <c r="F19" s="5">
        <v>5500</v>
      </c>
      <c r="H19" s="57" t="s">
        <v>32</v>
      </c>
      <c r="I19" s="19">
        <f>AVERAGE(E3:E26)</f>
        <v>51</v>
      </c>
      <c r="J19" s="58">
        <f>AVERAGE(F3:F26)</f>
        <v>11220</v>
      </c>
      <c r="L19" s="23"/>
      <c r="M19" s="19" t="s">
        <v>21</v>
      </c>
      <c r="N19" s="19">
        <f t="shared" si="7"/>
        <v>237</v>
      </c>
      <c r="O19" s="19">
        <f t="shared" si="8"/>
        <v>52140</v>
      </c>
      <c r="R19" s="21" t="s">
        <v>17</v>
      </c>
      <c r="S19" s="22">
        <f t="shared" si="11"/>
        <v>122</v>
      </c>
      <c r="T19" s="22">
        <f t="shared" si="11"/>
        <v>0</v>
      </c>
      <c r="U19" s="22">
        <f t="shared" si="11"/>
        <v>72</v>
      </c>
      <c r="X19" s="31"/>
      <c r="Y19" s="51" t="s">
        <v>17</v>
      </c>
      <c r="Z19" s="51">
        <f t="shared" si="10"/>
        <v>42680</v>
      </c>
    </row>
    <row r="20" spans="1:37" ht="15.75" thickBot="1" x14ac:dyDescent="0.3">
      <c r="A20" s="3">
        <v>18</v>
      </c>
      <c r="B20" s="4">
        <v>41014</v>
      </c>
      <c r="C20" s="4" t="str">
        <f t="shared" si="0"/>
        <v>2012</v>
      </c>
      <c r="D20" s="3" t="s">
        <v>11</v>
      </c>
      <c r="E20" s="3">
        <v>32</v>
      </c>
      <c r="F20" s="5">
        <v>7040</v>
      </c>
      <c r="H20" s="57" t="s">
        <v>33</v>
      </c>
      <c r="I20" s="19">
        <f>COUNT(E3:E26)</f>
        <v>24</v>
      </c>
      <c r="J20" s="20">
        <f>COUNT(F3:F26)</f>
        <v>24</v>
      </c>
      <c r="L20" s="42"/>
      <c r="M20" s="43" t="s">
        <v>11</v>
      </c>
      <c r="N20" s="19">
        <f t="shared" si="7"/>
        <v>376</v>
      </c>
      <c r="O20" s="19">
        <f t="shared" si="8"/>
        <v>82720</v>
      </c>
      <c r="R20" s="21" t="s">
        <v>21</v>
      </c>
      <c r="S20" s="22">
        <f t="shared" si="11"/>
        <v>90</v>
      </c>
      <c r="T20" s="22">
        <f t="shared" si="11"/>
        <v>95</v>
      </c>
      <c r="U20" s="22">
        <f t="shared" si="11"/>
        <v>52</v>
      </c>
      <c r="X20" s="45"/>
      <c r="Y20" s="51" t="s">
        <v>21</v>
      </c>
      <c r="Z20" s="51">
        <f t="shared" si="10"/>
        <v>52140</v>
      </c>
    </row>
    <row r="21" spans="1:37" ht="15.75" thickBot="1" x14ac:dyDescent="0.3">
      <c r="A21" s="3">
        <v>19</v>
      </c>
      <c r="B21" s="4">
        <v>41014</v>
      </c>
      <c r="C21" s="4" t="str">
        <f t="shared" si="0"/>
        <v>2012</v>
      </c>
      <c r="D21" s="3" t="s">
        <v>13</v>
      </c>
      <c r="E21" s="3">
        <v>24</v>
      </c>
      <c r="F21" s="5">
        <v>5280</v>
      </c>
      <c r="H21" s="59" t="s">
        <v>34</v>
      </c>
      <c r="I21" s="19">
        <f>COUNTA(E3:E26)</f>
        <v>24</v>
      </c>
      <c r="J21" s="60">
        <f>COUNTA(F3:F26)</f>
        <v>24</v>
      </c>
      <c r="R21" s="44" t="s">
        <v>11</v>
      </c>
      <c r="S21" s="22">
        <f t="shared" si="11"/>
        <v>132</v>
      </c>
      <c r="T21" s="22">
        <f t="shared" si="11"/>
        <v>152</v>
      </c>
      <c r="U21" s="22">
        <f t="shared" si="11"/>
        <v>92</v>
      </c>
    </row>
    <row r="22" spans="1:37" x14ac:dyDescent="0.25">
      <c r="A22" s="3">
        <v>20</v>
      </c>
      <c r="B22" s="4">
        <v>41068</v>
      </c>
      <c r="C22" s="4" t="str">
        <f t="shared" si="0"/>
        <v>2012</v>
      </c>
      <c r="D22" s="3" t="s">
        <v>17</v>
      </c>
      <c r="E22" s="3">
        <v>47</v>
      </c>
      <c r="F22" s="5">
        <v>10340</v>
      </c>
    </row>
    <row r="23" spans="1:37" x14ac:dyDescent="0.25">
      <c r="A23" s="3">
        <v>21</v>
      </c>
      <c r="B23" s="4">
        <v>41068</v>
      </c>
      <c r="C23" s="4" t="str">
        <f t="shared" si="0"/>
        <v>2012</v>
      </c>
      <c r="D23" s="3" t="s">
        <v>13</v>
      </c>
      <c r="E23" s="3">
        <v>41</v>
      </c>
      <c r="F23" s="5">
        <v>9020</v>
      </c>
    </row>
    <row r="24" spans="1:37" x14ac:dyDescent="0.25">
      <c r="A24" s="3">
        <v>22</v>
      </c>
      <c r="B24" s="4">
        <v>41125</v>
      </c>
      <c r="C24" s="4" t="str">
        <f t="shared" si="0"/>
        <v>2012</v>
      </c>
      <c r="D24" s="3" t="s">
        <v>21</v>
      </c>
      <c r="E24" s="3">
        <v>52</v>
      </c>
      <c r="F24" s="5">
        <v>11440</v>
      </c>
    </row>
    <row r="25" spans="1:37" x14ac:dyDescent="0.25">
      <c r="A25" s="3">
        <v>23</v>
      </c>
      <c r="B25" s="4">
        <v>41183</v>
      </c>
      <c r="C25" s="4" t="str">
        <f t="shared" si="0"/>
        <v>2012</v>
      </c>
      <c r="D25" s="3" t="s">
        <v>7</v>
      </c>
      <c r="E25" s="3">
        <v>36</v>
      </c>
      <c r="F25" s="5">
        <v>7920</v>
      </c>
    </row>
    <row r="26" spans="1:37" x14ac:dyDescent="0.25">
      <c r="A26" s="3">
        <v>24</v>
      </c>
      <c r="B26" s="4">
        <v>41183</v>
      </c>
      <c r="C26" s="4" t="str">
        <f t="shared" si="0"/>
        <v>2012</v>
      </c>
      <c r="D26" s="3" t="s">
        <v>11</v>
      </c>
      <c r="E26" s="3">
        <v>60</v>
      </c>
      <c r="F26" s="5">
        <v>13200</v>
      </c>
    </row>
  </sheetData>
  <mergeCells count="24">
    <mergeCell ref="S15:U15"/>
    <mergeCell ref="X15:X20"/>
    <mergeCell ref="AH15:AK15"/>
    <mergeCell ref="L16:L20"/>
    <mergeCell ref="AH16:AK16"/>
    <mergeCell ref="AH17:AK17"/>
    <mergeCell ref="Z8:AB8"/>
    <mergeCell ref="AH8:AI8"/>
    <mergeCell ref="Z9:AB9"/>
    <mergeCell ref="AH9:AI9"/>
    <mergeCell ref="AG13:AK13"/>
    <mergeCell ref="H14:J14"/>
    <mergeCell ref="X14:Z14"/>
    <mergeCell ref="AH14:AK14"/>
    <mergeCell ref="A1:F1"/>
    <mergeCell ref="I3:K3"/>
    <mergeCell ref="N4:N8"/>
    <mergeCell ref="X5:X9"/>
    <mergeCell ref="Y5:AB5"/>
    <mergeCell ref="AF5:AI5"/>
    <mergeCell ref="Z6:AB6"/>
    <mergeCell ref="AF6:AF9"/>
    <mergeCell ref="Z7:AB7"/>
    <mergeCell ref="AH7:AI7"/>
  </mergeCells>
  <conditionalFormatting sqref="I5:K9">
    <cfRule type="cellIs" dxfId="9" priority="9" operator="lessThan">
      <formula>6000</formula>
    </cfRule>
    <cfRule type="cellIs" dxfId="8" priority="10" operator="greaterThan">
      <formula>15000</formula>
    </cfRule>
  </conditionalFormatting>
  <conditionalFormatting sqref="J16:J21">
    <cfRule type="cellIs" dxfId="7" priority="7" operator="lessThan">
      <formula>6000</formula>
    </cfRule>
    <cfRule type="cellIs" dxfId="6" priority="8" operator="greaterThan">
      <formula>15000</formula>
    </cfRule>
  </conditionalFormatting>
  <conditionalFormatting sqref="O16:O20">
    <cfRule type="cellIs" dxfId="5" priority="5" operator="lessThan">
      <formula>6000</formula>
    </cfRule>
    <cfRule type="cellIs" dxfId="4" priority="6" operator="greaterThan">
      <formula>15000</formula>
    </cfRule>
  </conditionalFormatting>
  <conditionalFormatting sqref="S17:U21">
    <cfRule type="cellIs" dxfId="3" priority="3" operator="lessThan">
      <formula>6000</formula>
    </cfRule>
    <cfRule type="cellIs" dxfId="2" priority="4" operator="greaterThan">
      <formula>15000</formula>
    </cfRule>
  </conditionalFormatting>
  <conditionalFormatting sqref="Z16:Z20">
    <cfRule type="cellIs" dxfId="1" priority="1" operator="greaterThan">
      <formula>15000</formula>
    </cfRule>
  </conditionalFormatting>
  <conditionalFormatting sqref="Z7:AB9">
    <cfRule type="cellIs" dxfId="0" priority="2" operator="lessThan">
      <formula>6000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Ramotalai Adebayo</dc:creator>
  <cp:lastModifiedBy>Ramotalai Adebayo</cp:lastModifiedBy>
  <dcterms:created xsi:type="dcterms:W3CDTF">2026-05-03T18:38:17Z</dcterms:created>
  <dcterms:modified xsi:type="dcterms:W3CDTF">2026-05-03T18:39:29Z</dcterms:modified>
</cp:coreProperties>
</file>